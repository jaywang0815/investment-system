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客戶總覽" sheetId="1" state="visible" r:id="rId1"/>
    <sheet name="SN明細_5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_);\(0\)"/>
    <numFmt numFmtId="165" formatCode="yyyy-mm-dd h:mm:ss"/>
    <numFmt numFmtId="166" formatCode="m&quot;月&quot;d&quot;日&quot;"/>
  </numFmts>
  <fonts count="9">
    <font>
      <name val="Calibri"/>
      <family val="2"/>
      <color theme="1"/>
      <sz val="11"/>
      <scheme val="minor"/>
    </font>
    <font>
      <name val="微軟正黑體"/>
      <b val="1"/>
      <color rgb="00FFFFFF"/>
      <sz val="14"/>
    </font>
    <font>
      <name val="微軟正黑體"/>
      <color rgb="0094A3B8"/>
      <sz val="9"/>
    </font>
    <font>
      <name val="微軟正黑體"/>
      <b val="1"/>
      <color rgb="00FFFFFF"/>
      <sz val="11"/>
    </font>
    <font>
      <name val="微軟正黑體"/>
      <b val="1"/>
      <color rgb="000F172A"/>
      <sz val="11"/>
    </font>
    <font>
      <name val="微軟正黑體"/>
      <b val="1"/>
      <color rgb="00059669"/>
      <sz val="10"/>
    </font>
    <font>
      <name val="微軟正黑體"/>
      <color rgb="000F172A"/>
      <sz val="10"/>
    </font>
    <font>
      <name val="微軟正黑體"/>
      <b val="1"/>
      <color rgb="00D97706"/>
      <sz val="11"/>
    </font>
    <font>
      <name val="微軟正黑體"/>
      <b val="1"/>
      <color rgb="00475569"/>
      <sz val="10"/>
    </font>
  </fonts>
  <fills count="7">
    <fill>
      <patternFill/>
    </fill>
    <fill>
      <patternFill patternType="gray125"/>
    </fill>
    <fill>
      <patternFill patternType="solid">
        <fgColor rgb="001E3A8A"/>
      </patternFill>
    </fill>
    <fill>
      <patternFill patternType="solid">
        <fgColor rgb="000F2460"/>
      </patternFill>
    </fill>
    <fill>
      <patternFill patternType="solid">
        <fgColor rgb="002D4E9E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2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/>
    </xf>
    <xf numFmtId="0" fontId="5" fillId="5" borderId="2" applyAlignment="1" pivotButton="0" quotePrefix="0" xfId="0">
      <alignment horizontal="center" vertical="center"/>
    </xf>
    <xf numFmtId="37" fontId="6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/>
    </xf>
    <xf numFmtId="0" fontId="5" fillId="6" borderId="2" applyAlignment="1" pivotButton="0" quotePrefix="0" xfId="0">
      <alignment horizontal="center" vertical="center"/>
    </xf>
    <xf numFmtId="37" fontId="6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164" fontId="6" fillId="6" borderId="2" applyAlignment="1" pivotButton="0" quotePrefix="0" xfId="0">
      <alignment horizontal="center" vertical="center"/>
    </xf>
    <xf numFmtId="164" fontId="6" fillId="5" borderId="2" applyAlignment="1" pivotButton="0" quotePrefix="0" xfId="0">
      <alignment horizontal="center" vertical="center"/>
    </xf>
    <xf numFmtId="166" fontId="6" fillId="6" borderId="2" applyAlignment="1" pivotButton="0" quotePrefix="0" xfId="0">
      <alignment horizontal="center" vertical="center"/>
    </xf>
    <xf numFmtId="166" fontId="6" fillId="5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center" vertical="center"/>
    </xf>
    <xf numFmtId="10" fontId="6" fillId="5" borderId="2" applyAlignment="1" pivotButton="0" quotePrefix="0" xfId="0">
      <alignment horizontal="center" vertical="center"/>
    </xf>
    <xf numFmtId="9" fontId="6" fillId="5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left" vertical="center"/>
    </xf>
    <xf numFmtId="0" fontId="7" fillId="6" borderId="2" applyAlignment="1" pivotButton="0" quotePrefix="0" xfId="0">
      <alignment horizontal="center" vertical="center"/>
    </xf>
    <xf numFmtId="9" fontId="6" fillId="6" borderId="2" applyAlignment="1" pivotButton="0" quotePrefix="0" xfId="0">
      <alignment horizontal="center" vertical="center"/>
    </xf>
    <xf numFmtId="10" fontId="6" fillId="6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.33203125" customWidth="1" min="1" max="1"/>
    <col width="13.1640625" customWidth="1" min="5" max="5"/>
    <col width="11.6640625" customWidth="1" min="7" max="7"/>
    <col width="11.6640625" customWidth="1" min="14" max="14"/>
  </cols>
  <sheetData>
    <row r="1" ht="40" customHeight="1">
      <c r="A1" s="1" t="inlineStr">
        <is>
          <t>客戶開戶明細</t>
        </is>
      </c>
    </row>
    <row r="2" ht="20" customHeight="1">
      <c r="A2" s="2" t="inlineStr">
        <is>
          <t>2026年06月08日</t>
        </is>
      </c>
    </row>
    <row r="3" ht="28" customHeight="1">
      <c r="A3" s="3" t="inlineStr">
        <is>
          <t>戶名</t>
        </is>
      </c>
      <c r="B3" s="3" t="inlineStr">
        <is>
          <t>統一開戶</t>
        </is>
      </c>
      <c r="C3" s="3" t="inlineStr">
        <is>
          <t>ＰＩ見簽</t>
        </is>
      </c>
      <c r="D3" s="3" t="inlineStr">
        <is>
          <t>已下單</t>
        </is>
      </c>
      <c r="E3" s="3" t="inlineStr">
        <is>
          <t>ＵＳＤ</t>
        </is>
      </c>
      <c r="F3" s="3" t="inlineStr">
        <is>
          <t>中信部位</t>
        </is>
      </c>
      <c r="G3" s="3" t="inlineStr">
        <is>
          <t>FUND</t>
        </is>
      </c>
      <c r="H3" s="3" t="n"/>
      <c r="I3" s="3" t="inlineStr">
        <is>
          <t>5月</t>
        </is>
      </c>
      <c r="J3" s="3" t="n"/>
      <c r="K3" s="3" t="n"/>
      <c r="L3" s="3" t="n"/>
      <c r="M3" s="3" t="inlineStr">
        <is>
          <t>可下單金額</t>
        </is>
      </c>
      <c r="N3" s="3" t="inlineStr">
        <is>
          <t>未知</t>
        </is>
      </c>
      <c r="O3" s="3" t="n"/>
      <c r="P3" s="3" t="inlineStr">
        <is>
          <t>游家</t>
        </is>
      </c>
      <c r="Q3" s="3" t="n"/>
    </row>
    <row r="4" ht="20" customHeight="1">
      <c r="A4" s="4" t="inlineStr">
        <is>
          <t>莫新鳳</t>
        </is>
      </c>
      <c r="B4" s="5" t="inlineStr">
        <is>
          <t>Ｖ</t>
        </is>
      </c>
      <c r="C4" s="5" t="inlineStr">
        <is>
          <t>Ｖ</t>
        </is>
      </c>
      <c r="D4" s="5" t="inlineStr">
        <is>
          <t>Ｖ</t>
        </is>
      </c>
      <c r="E4" s="6" t="n">
        <v>790000</v>
      </c>
      <c r="F4" s="6" t="n"/>
      <c r="G4" s="7" t="n"/>
      <c r="H4" s="7" t="n"/>
      <c r="I4" s="7" t="n"/>
      <c r="J4" s="7" t="n"/>
      <c r="K4" s="7" t="n"/>
      <c r="L4" s="7" t="n"/>
      <c r="M4" s="6">
        <f>SUM(E2:E151)</f>
        <v/>
      </c>
      <c r="N4" s="6">
        <f>SUM(F2:F57)</f>
        <v/>
      </c>
      <c r="O4" s="7" t="n"/>
      <c r="P4" s="6">
        <f>SUM(E4:E9,F4:F7)</f>
        <v/>
      </c>
      <c r="Q4" s="7" t="n"/>
    </row>
    <row r="5" ht="20" customHeight="1">
      <c r="A5" s="8" t="inlineStr">
        <is>
          <t>吳木火</t>
        </is>
      </c>
      <c r="B5" s="9" t="inlineStr">
        <is>
          <t>Ｖ</t>
        </is>
      </c>
      <c r="C5" s="9" t="inlineStr">
        <is>
          <t>Ｖ</t>
        </is>
      </c>
      <c r="D5" s="9" t="inlineStr">
        <is>
          <t>V</t>
        </is>
      </c>
      <c r="E5" s="10" t="n">
        <v>100000</v>
      </c>
      <c r="F5" s="10" t="n"/>
      <c r="G5" s="11" t="n"/>
      <c r="H5" s="11" t="n"/>
      <c r="I5" s="9" t="inlineStr">
        <is>
          <t>Ｖ</t>
        </is>
      </c>
      <c r="J5" s="11" t="n"/>
      <c r="K5" s="11" t="n"/>
      <c r="L5" s="11" t="n"/>
      <c r="M5" s="11" t="n"/>
      <c r="N5" s="11" t="n"/>
      <c r="O5" s="11" t="inlineStr">
        <is>
          <t>4月</t>
        </is>
      </c>
      <c r="P5" s="11" t="n"/>
      <c r="Q5" s="11" t="n"/>
    </row>
    <row r="6" ht="20" customHeight="1">
      <c r="A6" s="4" t="inlineStr">
        <is>
          <t>游家順</t>
        </is>
      </c>
      <c r="B6" s="5" t="inlineStr">
        <is>
          <t>V</t>
        </is>
      </c>
      <c r="C6" s="5" t="inlineStr">
        <is>
          <t>V</t>
        </is>
      </c>
      <c r="D6" s="5" t="inlineStr">
        <is>
          <t>V</t>
        </is>
      </c>
      <c r="E6" s="6" t="n">
        <v>1100000</v>
      </c>
      <c r="F6" s="6" t="n"/>
      <c r="G6" s="6" t="n">
        <v>23000000</v>
      </c>
      <c r="H6" s="7" t="n">
        <v>350000</v>
      </c>
      <c r="I6" s="7" t="n"/>
      <c r="J6" s="7" t="n"/>
      <c r="K6" s="7" t="n"/>
      <c r="L6" s="7" t="n"/>
      <c r="M6" s="7" t="n"/>
      <c r="N6" s="7" t="n"/>
      <c r="O6" s="7" t="inlineStr">
        <is>
          <t>5月</t>
        </is>
      </c>
      <c r="P6" s="7" t="n"/>
      <c r="Q6" s="7" t="n"/>
    </row>
    <row r="7" ht="20" customHeight="1">
      <c r="A7" s="8" t="inlineStr">
        <is>
          <t>游舒溶</t>
        </is>
      </c>
      <c r="B7" s="9" t="inlineStr">
        <is>
          <t>Ｖ</t>
        </is>
      </c>
      <c r="C7" s="9" t="inlineStr">
        <is>
          <t>Ｖ</t>
        </is>
      </c>
      <c r="D7" s="11" t="n"/>
      <c r="E7" s="10" t="n">
        <v>400000</v>
      </c>
      <c r="F7" s="10" t="n">
        <v>0</v>
      </c>
      <c r="G7" s="11" t="n"/>
      <c r="H7" s="11" t="n">
        <v>130000</v>
      </c>
      <c r="I7" s="11" t="n"/>
      <c r="J7" s="11" t="n"/>
      <c r="K7" s="11" t="n"/>
      <c r="L7" s="11" t="n"/>
      <c r="M7" s="11" t="n"/>
      <c r="N7" s="11" t="n"/>
      <c r="O7" s="11" t="inlineStr">
        <is>
          <t>6月</t>
        </is>
      </c>
      <c r="P7" s="11" t="n"/>
      <c r="Q7" s="11" t="n"/>
    </row>
    <row r="8" ht="20" customHeight="1">
      <c r="A8" s="4" t="inlineStr">
        <is>
          <t>游舒瑜</t>
        </is>
      </c>
      <c r="B8" s="5" t="inlineStr">
        <is>
          <t>V</t>
        </is>
      </c>
      <c r="C8" s="5" t="inlineStr">
        <is>
          <t>V</t>
        </is>
      </c>
      <c r="D8" s="5" t="inlineStr">
        <is>
          <t>V</t>
        </is>
      </c>
      <c r="E8" s="6" t="n">
        <v>1300000</v>
      </c>
      <c r="F8" s="6" t="n">
        <v>200000</v>
      </c>
      <c r="G8" s="7" t="n"/>
      <c r="H8" s="7" t="n">
        <v>300000</v>
      </c>
      <c r="I8" s="7" t="n"/>
      <c r="J8" s="7" t="n"/>
      <c r="K8" s="7" t="n"/>
      <c r="L8" s="7" t="n"/>
      <c r="M8" s="7" t="n"/>
      <c r="N8" s="7" t="n"/>
      <c r="O8" s="7" t="inlineStr">
        <is>
          <t>7月</t>
        </is>
      </c>
      <c r="P8" s="7" t="n"/>
      <c r="Q8" s="7" t="n"/>
    </row>
    <row r="9" ht="20" customHeight="1">
      <c r="A9" s="8" t="inlineStr">
        <is>
          <t>游庚霖</t>
        </is>
      </c>
      <c r="B9" s="9" t="inlineStr">
        <is>
          <t>V</t>
        </is>
      </c>
      <c r="C9" s="9" t="inlineStr">
        <is>
          <t>V</t>
        </is>
      </c>
      <c r="D9" s="11" t="n"/>
      <c r="E9" s="10" t="n"/>
      <c r="F9" s="10" t="n">
        <v>800000</v>
      </c>
      <c r="G9" s="11" t="n"/>
      <c r="H9" s="11" t="n"/>
      <c r="I9" s="11" t="inlineStr">
        <is>
          <t>     </t>
        </is>
      </c>
      <c r="J9" s="11" t="n"/>
      <c r="K9" s="11" t="n"/>
      <c r="L9" s="11" t="n"/>
      <c r="M9" s="11" t="n"/>
      <c r="N9" s="11" t="n"/>
      <c r="O9" s="11" t="inlineStr">
        <is>
          <t>8月</t>
        </is>
      </c>
      <c r="P9" s="11" t="n"/>
      <c r="Q9" s="11" t="n"/>
    </row>
    <row r="10" ht="20" customHeight="1">
      <c r="A10" s="4" t="inlineStr">
        <is>
          <t>游申譓</t>
        </is>
      </c>
      <c r="B10" s="5" t="inlineStr">
        <is>
          <t>V</t>
        </is>
      </c>
      <c r="C10" s="5" t="inlineStr">
        <is>
          <t>V</t>
        </is>
      </c>
      <c r="D10" s="5" t="inlineStr">
        <is>
          <t>Ｖ</t>
        </is>
      </c>
      <c r="E10" s="6" t="n">
        <v>200000</v>
      </c>
      <c r="F10" s="6" t="n">
        <v>200000</v>
      </c>
      <c r="G10" s="7" t="n">
        <v>680000</v>
      </c>
      <c r="H10" s="7" t="n">
        <v>200000</v>
      </c>
      <c r="I10" s="7" t="n"/>
      <c r="J10" s="7" t="n"/>
      <c r="K10" s="7" t="n"/>
      <c r="L10" s="7" t="n"/>
      <c r="M10" s="7" t="n"/>
      <c r="N10" s="7" t="n"/>
      <c r="O10" s="7" t="inlineStr">
        <is>
          <t>9月</t>
        </is>
      </c>
      <c r="P10" s="7" t="n"/>
      <c r="Q10" s="7" t="n"/>
    </row>
    <row r="11" ht="20" customHeight="1">
      <c r="A11" s="8" t="inlineStr">
        <is>
          <t>許燁綸</t>
        </is>
      </c>
      <c r="B11" s="9" t="inlineStr">
        <is>
          <t>V</t>
        </is>
      </c>
      <c r="C11" s="9" t="inlineStr">
        <is>
          <t>V</t>
        </is>
      </c>
      <c r="D11" s="9" t="inlineStr">
        <is>
          <t>V</t>
        </is>
      </c>
      <c r="E11" s="10" t="n">
        <v>340000</v>
      </c>
      <c r="F11" s="10" t="n"/>
      <c r="G11" s="11" t="n"/>
      <c r="H11" s="11" t="n"/>
      <c r="I11" s="11" t="n"/>
      <c r="J11" s="11" t="n"/>
      <c r="K11" s="11" t="n"/>
      <c r="L11" s="11" t="n"/>
      <c r="M11" s="11" t="n"/>
      <c r="N11" s="11" t="n"/>
      <c r="O11" s="11" t="n"/>
      <c r="P11" s="11" t="n"/>
      <c r="Q11" s="11" t="n"/>
    </row>
    <row r="12" ht="20" customHeight="1">
      <c r="A12" s="4" t="inlineStr">
        <is>
          <t>周宏霖</t>
        </is>
      </c>
      <c r="B12" s="7" t="n"/>
      <c r="C12" s="7" t="n"/>
      <c r="D12" s="7" t="n"/>
      <c r="E12" s="6" t="n"/>
      <c r="F12" s="6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</row>
    <row r="13" ht="20" customHeight="1">
      <c r="A13" s="8" t="inlineStr">
        <is>
          <t>蕭美娥</t>
        </is>
      </c>
      <c r="B13" s="11" t="inlineStr">
        <is>
          <t> </t>
        </is>
      </c>
      <c r="C13" s="11" t="n"/>
      <c r="D13" s="11" t="n"/>
      <c r="E13" s="10" t="n"/>
      <c r="F13" s="10" t="n">
        <v>1100000</v>
      </c>
      <c r="G13" s="11" t="n">
        <v>4000000</v>
      </c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</row>
    <row r="14" ht="20" customHeight="1">
      <c r="A14" s="4" t="inlineStr">
        <is>
          <t>許傑森</t>
        </is>
      </c>
      <c r="B14" s="7" t="n"/>
      <c r="C14" s="7" t="n"/>
      <c r="D14" s="7" t="n"/>
      <c r="E14" s="6" t="n"/>
      <c r="F14" s="6" t="n">
        <v>320000</v>
      </c>
      <c r="G14" s="7" t="n">
        <v>3000000</v>
      </c>
      <c r="H14" s="7" t="n"/>
      <c r="I14" s="7" t="n"/>
      <c r="J14" s="7" t="n"/>
      <c r="K14" s="7" t="n"/>
      <c r="L14" s="7" t="n"/>
      <c r="M14" s="7" t="n"/>
      <c r="N14" s="7" t="n"/>
      <c r="O14" s="7" t="n"/>
      <c r="P14" s="7" t="inlineStr">
        <is>
          <t>第二批</t>
        </is>
      </c>
      <c r="Q14" s="7" t="inlineStr">
        <is>
          <t>戶名</t>
        </is>
      </c>
    </row>
    <row r="15" ht="20" customHeight="1">
      <c r="A15" s="8" t="inlineStr">
        <is>
          <t>許毓庭</t>
        </is>
      </c>
      <c r="B15" s="11" t="n"/>
      <c r="C15" s="11" t="n"/>
      <c r="D15" s="11" t="n"/>
      <c r="E15" s="10" t="n"/>
      <c r="F15" s="10" t="n">
        <v>300000</v>
      </c>
      <c r="G15" s="11" t="n">
        <v>3000000</v>
      </c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inlineStr">
        <is>
          <t>徐可章</t>
        </is>
      </c>
    </row>
    <row r="16" ht="20" customHeight="1">
      <c r="A16" s="4" t="inlineStr">
        <is>
          <t>蔣太太</t>
        </is>
      </c>
      <c r="B16" s="5" t="inlineStr">
        <is>
          <t>V</t>
        </is>
      </c>
      <c r="C16" s="5" t="inlineStr">
        <is>
          <t>V</t>
        </is>
      </c>
      <c r="D16" s="5" t="inlineStr">
        <is>
          <t>V</t>
        </is>
      </c>
      <c r="E16" s="6" t="n">
        <v>370000</v>
      </c>
      <c r="F16" s="6" t="n">
        <v>1600000</v>
      </c>
      <c r="G16" s="7" t="n">
        <v>100000</v>
      </c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inlineStr">
        <is>
          <t>江永鎮</t>
        </is>
      </c>
    </row>
    <row r="17" ht="20" customHeight="1">
      <c r="A17" s="8" t="inlineStr">
        <is>
          <t>蔣秀佳</t>
        </is>
      </c>
      <c r="B17" s="11" t="n"/>
      <c r="C17" s="11" t="n"/>
      <c r="D17" s="11" t="n"/>
      <c r="E17" s="10" t="n"/>
      <c r="F17" s="10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inlineStr">
        <is>
          <t>林巧彗</t>
        </is>
      </c>
    </row>
    <row r="18" ht="20" customHeight="1">
      <c r="A18" s="4" t="inlineStr">
        <is>
          <t>ＤＯＵ</t>
        </is>
      </c>
      <c r="B18" s="7" t="n"/>
      <c r="C18" s="7" t="n"/>
      <c r="D18" s="7" t="n"/>
      <c r="E18" s="6" t="n"/>
      <c r="F18" s="6" t="n"/>
      <c r="G18" s="7" t="n"/>
      <c r="H18" s="7" t="inlineStr">
        <is>
          <t>法金</t>
        </is>
      </c>
      <c r="I18" s="7" t="n"/>
      <c r="J18" s="6" t="n">
        <v>2680000</v>
      </c>
      <c r="K18" s="7" t="n"/>
      <c r="L18" s="7" t="n"/>
      <c r="M18" s="7" t="n"/>
      <c r="N18" s="7" t="n"/>
      <c r="O18" s="7" t="n"/>
      <c r="P18" s="7" t="n"/>
      <c r="Q18" s="7" t="inlineStr">
        <is>
          <t>林榮川</t>
        </is>
      </c>
    </row>
    <row r="19" ht="20" customHeight="1">
      <c r="A19" s="8" t="inlineStr">
        <is>
          <t>ＢＩＧＴＩＭＥ</t>
        </is>
      </c>
      <c r="B19" s="11" t="n"/>
      <c r="C19" s="11" t="n"/>
      <c r="D19" s="11" t="n"/>
      <c r="E19" s="10" t="n"/>
      <c r="F19" s="10" t="n"/>
      <c r="G19" s="11" t="n"/>
      <c r="H19" s="11" t="inlineStr">
        <is>
          <t>法金</t>
        </is>
      </c>
      <c r="I19" s="11" t="n"/>
      <c r="J19" s="10" t="n">
        <v>1600000</v>
      </c>
      <c r="K19" s="11" t="n"/>
      <c r="L19" s="11" t="n"/>
      <c r="M19" s="11" t="n"/>
      <c r="N19" s="11" t="n"/>
      <c r="O19" s="11" t="n"/>
      <c r="P19" s="11" t="n"/>
      <c r="Q19" s="11" t="inlineStr">
        <is>
          <t xml:space="preserve">林婉仙 </t>
        </is>
      </c>
    </row>
    <row r="20" ht="20" customHeight="1">
      <c r="A20" s="4" t="inlineStr">
        <is>
          <t>勤盛股份有限</t>
        </is>
      </c>
      <c r="B20" s="7" t="n"/>
      <c r="C20" s="7" t="n"/>
      <c r="D20" s="7" t="n"/>
      <c r="E20" s="6" t="n"/>
      <c r="F20" s="6" t="n"/>
      <c r="G20" s="7" t="n"/>
      <c r="H20" s="7" t="inlineStr">
        <is>
          <t>紹庭</t>
        </is>
      </c>
      <c r="I20" s="7" t="n"/>
      <c r="J20" s="6" t="n">
        <v>460000</v>
      </c>
      <c r="K20" s="7" t="n"/>
      <c r="L20" s="7" t="n"/>
      <c r="M20" s="7" t="n"/>
      <c r="N20" s="7" t="n"/>
      <c r="O20" s="7" t="n"/>
      <c r="P20" s="7" t="n"/>
      <c r="Q20" s="7" t="n"/>
    </row>
    <row r="21" ht="20" customHeight="1">
      <c r="A21" s="8" t="inlineStr">
        <is>
          <t>楊舒晴</t>
        </is>
      </c>
      <c r="B21" s="9" t="inlineStr">
        <is>
          <t>V</t>
        </is>
      </c>
      <c r="C21" s="11" t="n"/>
      <c r="D21" s="11" t="n"/>
      <c r="E21" s="10" t="n">
        <v>350000</v>
      </c>
      <c r="F21" s="10" t="n"/>
      <c r="G21" s="11" t="n"/>
      <c r="H21" s="11" t="inlineStr">
        <is>
          <t>等客戶繳稅</t>
        </is>
      </c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</row>
    <row r="22" ht="20" customHeight="1">
      <c r="A22" s="4" t="inlineStr">
        <is>
          <t>黃信維</t>
        </is>
      </c>
      <c r="B22" s="5" t="inlineStr">
        <is>
          <t>V</t>
        </is>
      </c>
      <c r="C22" s="5" t="inlineStr">
        <is>
          <t>V</t>
        </is>
      </c>
      <c r="D22" s="5" t="inlineStr">
        <is>
          <t>V</t>
        </is>
      </c>
      <c r="E22" s="6" t="n">
        <v>840000</v>
      </c>
      <c r="F22" s="6" t="n">
        <v>50000</v>
      </c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</row>
    <row r="23" ht="20" customHeight="1">
      <c r="A23" s="8" t="inlineStr">
        <is>
          <t>陳煥為</t>
        </is>
      </c>
      <c r="B23" s="9" t="inlineStr">
        <is>
          <t>V</t>
        </is>
      </c>
      <c r="C23" s="9" t="inlineStr">
        <is>
          <t>V</t>
        </is>
      </c>
      <c r="D23" s="9" t="inlineStr">
        <is>
          <t>V</t>
        </is>
      </c>
      <c r="E23" s="10" t="n">
        <v>260000</v>
      </c>
      <c r="F23" s="10" t="n">
        <v>200000</v>
      </c>
      <c r="G23" s="11" t="n">
        <v>200000</v>
      </c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</row>
    <row r="24" ht="20" customHeight="1">
      <c r="A24" s="4" t="inlineStr">
        <is>
          <t xml:space="preserve">鄭瑞堃 </t>
        </is>
      </c>
      <c r="B24" s="5" t="inlineStr">
        <is>
          <t>V</t>
        </is>
      </c>
      <c r="C24" s="5" t="inlineStr">
        <is>
          <t>V</t>
        </is>
      </c>
      <c r="D24" s="5" t="inlineStr">
        <is>
          <t>V</t>
        </is>
      </c>
      <c r="E24" s="6" t="n">
        <v>80000</v>
      </c>
      <c r="F24" s="6" t="n">
        <v>150000</v>
      </c>
      <c r="G24" s="7" t="n"/>
      <c r="H24" s="7" t="n"/>
      <c r="I24" s="5" t="inlineStr">
        <is>
          <t>Ｖ</t>
        </is>
      </c>
      <c r="J24" s="7" t="n"/>
      <c r="K24" s="7" t="n"/>
      <c r="L24" s="7" t="n"/>
      <c r="M24" s="7" t="n"/>
      <c r="N24" s="7" t="n"/>
      <c r="O24" s="7" t="n"/>
      <c r="P24" s="7" t="n"/>
      <c r="Q24" s="7" t="n"/>
    </row>
    <row r="25" ht="20" customHeight="1">
      <c r="A25" s="8" t="inlineStr">
        <is>
          <t>張瑛珊</t>
        </is>
      </c>
      <c r="B25" s="11" t="n"/>
      <c r="C25" s="11" t="n"/>
      <c r="D25" s="11" t="n"/>
      <c r="E25" s="11" t="n"/>
      <c r="F25" s="10" t="n">
        <v>300000</v>
      </c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</row>
    <row r="26" ht="20" customHeight="1">
      <c r="A26" s="4" t="inlineStr">
        <is>
          <t>張劉有</t>
        </is>
      </c>
      <c r="B26" s="7" t="inlineStr">
        <is>
          <t>X</t>
        </is>
      </c>
      <c r="C26" s="7" t="inlineStr">
        <is>
          <t>X</t>
        </is>
      </c>
      <c r="D26" s="7" t="n"/>
      <c r="E26" s="7" t="n"/>
      <c r="F26" s="6" t="n">
        <v>800000</v>
      </c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</row>
    <row r="27" ht="20" customHeight="1">
      <c r="A27" s="8" t="inlineStr">
        <is>
          <t>ＹＵＳＨＥＮ</t>
        </is>
      </c>
      <c r="B27" s="11" t="n"/>
      <c r="C27" s="11" t="n"/>
      <c r="D27" s="11" t="n"/>
      <c r="E27" s="10" t="n">
        <v>800000</v>
      </c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</row>
    <row r="28" ht="20" customHeight="1">
      <c r="A28" s="4" t="inlineStr">
        <is>
          <t>楊-珊友</t>
        </is>
      </c>
      <c r="B28" s="7" t="n"/>
      <c r="C28" s="7" t="n"/>
      <c r="D28" s="7" t="n"/>
      <c r="E28" s="7" t="n"/>
      <c r="F28" s="7" t="n"/>
      <c r="G28" s="7" t="n"/>
      <c r="H28" s="7" t="n"/>
      <c r="I28" s="7" t="n"/>
      <c r="J28" s="7" t="n"/>
      <c r="K28" s="7" t="n"/>
      <c r="L28" s="7" t="n"/>
      <c r="M28" s="7" t="n"/>
      <c r="N28" s="7" t="n"/>
      <c r="O28" s="7" t="n"/>
      <c r="P28" s="7" t="n"/>
      <c r="Q28" s="7" t="n"/>
    </row>
    <row r="29" ht="20" customHeight="1">
      <c r="A29" s="8" t="inlineStr">
        <is>
          <t>戴儀蘋</t>
        </is>
      </c>
      <c r="B29" s="9" t="inlineStr">
        <is>
          <t>V</t>
        </is>
      </c>
      <c r="C29" s="9" t="inlineStr">
        <is>
          <t>V</t>
        </is>
      </c>
      <c r="D29" s="11" t="n"/>
      <c r="E29" s="12" t="n">
        <v>120000</v>
      </c>
      <c r="F29" s="12" t="n">
        <v>200000</v>
      </c>
      <c r="G29" s="11" t="n">
        <v>4000000</v>
      </c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</row>
    <row r="30" ht="20" customHeight="1">
      <c r="A30" s="4" t="inlineStr">
        <is>
          <t>戴筱蘋</t>
        </is>
      </c>
      <c r="B30" s="5" t="inlineStr">
        <is>
          <t>V</t>
        </is>
      </c>
      <c r="C30" s="5" t="inlineStr">
        <is>
          <t>V</t>
        </is>
      </c>
      <c r="D30" s="7" t="n"/>
      <c r="E30" s="13" t="n">
        <v>120000</v>
      </c>
      <c r="F30" s="13" t="n">
        <v>200000</v>
      </c>
      <c r="G30" s="7" t="n">
        <v>4000000</v>
      </c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</row>
    <row r="31" ht="20" customHeight="1">
      <c r="A31" s="8" t="inlineStr">
        <is>
          <t>戴薇蘋</t>
        </is>
      </c>
      <c r="B31" s="9" t="inlineStr">
        <is>
          <t>V</t>
        </is>
      </c>
      <c r="C31" s="9" t="inlineStr">
        <is>
          <t>V</t>
        </is>
      </c>
      <c r="D31" s="11" t="n"/>
      <c r="E31" s="12" t="n">
        <v>120000</v>
      </c>
      <c r="F31" s="12" t="n">
        <v>200000</v>
      </c>
      <c r="G31" s="11" t="n">
        <v>4000000</v>
      </c>
      <c r="H31" s="11" t="n"/>
      <c r="I31" s="11" t="n"/>
      <c r="J31" s="11" t="n"/>
      <c r="K31" s="11" t="n"/>
      <c r="L31" s="11" t="n"/>
      <c r="M31" s="11" t="n"/>
      <c r="N31" s="11" t="n"/>
      <c r="O31" s="11" t="n"/>
      <c r="P31" s="11" t="n"/>
      <c r="Q31" s="11" t="n"/>
    </row>
    <row r="32" ht="20" customHeight="1">
      <c r="A32" s="4" t="inlineStr">
        <is>
          <t>林玉詩</t>
        </is>
      </c>
      <c r="B32" s="5" t="inlineStr">
        <is>
          <t>V</t>
        </is>
      </c>
      <c r="C32" s="5" t="inlineStr">
        <is>
          <t>V</t>
        </is>
      </c>
      <c r="D32" s="5" t="inlineStr">
        <is>
          <t>Ｖ</t>
        </is>
      </c>
      <c r="E32" s="13" t="n">
        <v>100000</v>
      </c>
      <c r="F32" s="13" t="n">
        <v>50000</v>
      </c>
      <c r="G32" s="7" t="n">
        <v>1500000</v>
      </c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</row>
    <row r="33" ht="20" customHeight="1">
      <c r="A33" s="8" t="inlineStr">
        <is>
          <t>朱如娟</t>
        </is>
      </c>
      <c r="B33" s="9" t="inlineStr">
        <is>
          <t>Ｖ</t>
        </is>
      </c>
      <c r="C33" s="14" t="n">
        <v>46169</v>
      </c>
      <c r="D33" s="11" t="n"/>
      <c r="E33" s="12" t="n"/>
      <c r="F33" s="12" t="n">
        <v>400000</v>
      </c>
      <c r="G33" s="11" t="n">
        <v>23000000</v>
      </c>
      <c r="H33" s="11" t="inlineStr">
        <is>
          <t>溝通完成</t>
        </is>
      </c>
      <c r="I33" s="11" t="n"/>
      <c r="J33" s="11" t="n"/>
      <c r="K33" s="11" t="n"/>
      <c r="L33" s="11" t="n"/>
      <c r="M33" s="11" t="n"/>
      <c r="N33" s="11" t="n"/>
      <c r="O33" s="11" t="n"/>
      <c r="P33" s="11" t="n"/>
      <c r="Q33" s="11" t="n"/>
    </row>
    <row r="34" ht="20" customHeight="1">
      <c r="A34" s="4" t="inlineStr">
        <is>
          <t>邱瑞之</t>
        </is>
      </c>
      <c r="B34" s="7" t="n"/>
      <c r="C34" s="7" t="n"/>
      <c r="D34" s="7" t="n"/>
      <c r="E34" s="13" t="n"/>
      <c r="F34" s="13" t="n"/>
      <c r="G34" s="7" t="n">
        <v>5000000</v>
      </c>
      <c r="H34" s="7" t="inlineStr">
        <is>
          <t>溝通完成</t>
        </is>
      </c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</row>
    <row r="35" ht="20" customHeight="1">
      <c r="A35" s="8" t="inlineStr">
        <is>
          <t>唐美英</t>
        </is>
      </c>
      <c r="B35" s="9" t="inlineStr">
        <is>
          <t>V</t>
        </is>
      </c>
      <c r="C35" s="9" t="inlineStr">
        <is>
          <t>V</t>
        </is>
      </c>
      <c r="D35" s="9" t="inlineStr">
        <is>
          <t>V</t>
        </is>
      </c>
      <c r="E35" s="12" t="n">
        <v>300000</v>
      </c>
      <c r="F35" s="12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</row>
    <row r="36" ht="20" customHeight="1">
      <c r="A36" s="4" t="inlineStr">
        <is>
          <t>戴東榮</t>
        </is>
      </c>
      <c r="B36" s="7" t="n"/>
      <c r="C36" s="7" t="n"/>
      <c r="D36" s="7" t="n"/>
      <c r="E36" s="7" t="n"/>
      <c r="F36" s="13" t="n">
        <v>120000</v>
      </c>
      <c r="G36" s="7" t="n"/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</row>
    <row r="37" ht="20" customHeight="1">
      <c r="A37" s="8" t="inlineStr">
        <is>
          <t>廖財地</t>
        </is>
      </c>
      <c r="B37" s="9" t="inlineStr">
        <is>
          <t>Ｖ</t>
        </is>
      </c>
      <c r="C37" s="9" t="inlineStr">
        <is>
          <t>Ｖ</t>
        </is>
      </c>
      <c r="D37" s="11" t="n"/>
      <c r="E37" s="12" t="n">
        <v>380000</v>
      </c>
      <c r="F37" s="11" t="n"/>
      <c r="G37" s="11" t="n"/>
      <c r="H37" s="11" t="n"/>
      <c r="I37" s="11" t="n"/>
      <c r="J37" s="11" t="n"/>
      <c r="K37" s="11" t="n"/>
      <c r="L37" s="11" t="n"/>
      <c r="M37" s="11" t="n"/>
      <c r="N37" s="11" t="n"/>
      <c r="O37" s="11" t="n"/>
      <c r="P37" s="11" t="n"/>
      <c r="Q37" s="11" t="n"/>
    </row>
  </sheetData>
  <mergeCells count="2">
    <mergeCell ref="A2:Q2"/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7"/>
  <sheetViews>
    <sheetView showGridLines="0" zoomScale="9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.83203125" customWidth="1" min="2" max="2"/>
  </cols>
  <sheetData>
    <row r="1" ht="40" customHeight="1">
      <c r="A1" s="1" t="inlineStr">
        <is>
          <t>ＳＮ5月 商品明細</t>
        </is>
      </c>
    </row>
    <row r="2" ht="20" customHeight="1">
      <c r="A2" s="2" t="inlineStr">
        <is>
          <t>2026年06月08日</t>
        </is>
      </c>
    </row>
    <row r="3" ht="28" customHeight="1">
      <c r="A3" s="3" t="inlineStr">
        <is>
          <t>日期</t>
        </is>
      </c>
      <c r="B3" s="3" t="inlineStr">
        <is>
          <t>代號</t>
        </is>
      </c>
      <c r="C3" s="3" t="inlineStr">
        <is>
          <t>標的1</t>
        </is>
      </c>
      <c r="D3" s="3" t="inlineStr">
        <is>
          <t>標的2</t>
        </is>
      </c>
      <c r="E3" s="3" t="inlineStr">
        <is>
          <t>標的3</t>
        </is>
      </c>
      <c r="F3" s="3" t="inlineStr">
        <is>
          <t>標的4</t>
        </is>
      </c>
      <c r="G3" s="3" t="inlineStr">
        <is>
          <t>標的5</t>
        </is>
      </c>
      <c r="H3" s="3" t="inlineStr">
        <is>
          <t>執行價</t>
        </is>
      </c>
      <c r="I3" s="3" t="inlineStr">
        <is>
          <t>配息</t>
        </is>
      </c>
      <c r="J3" s="3" t="inlineStr">
        <is>
          <t>比價</t>
        </is>
      </c>
      <c r="K3" s="3" t="inlineStr">
        <is>
          <t>KO提前</t>
        </is>
      </c>
      <c r="L3" s="3" t="inlineStr">
        <is>
          <t>KI下限</t>
        </is>
      </c>
      <c r="M3" s="3" t="inlineStr">
        <is>
          <t>出場</t>
        </is>
      </c>
      <c r="N3" s="3" t="inlineStr">
        <is>
          <t>暫結</t>
        </is>
      </c>
      <c r="O3" s="3" t="inlineStr">
        <is>
          <t>CHU</t>
        </is>
      </c>
      <c r="P3" s="3" t="inlineStr">
        <is>
          <t>下單金額</t>
        </is>
      </c>
      <c r="Q3" s="3" t="n"/>
      <c r="R3" s="3" t="n"/>
      <c r="S3" s="3" t="n"/>
    </row>
    <row r="4" ht="20" customHeight="1">
      <c r="A4" s="15" t="n">
        <v>46153</v>
      </c>
      <c r="B4" s="16" t="inlineStr">
        <is>
          <t xml:space="preserve"> EQDS0702653</t>
        </is>
      </c>
      <c r="C4" s="17" t="inlineStr">
        <is>
          <t>ＴＳＬＡ</t>
        </is>
      </c>
      <c r="D4" s="17" t="inlineStr">
        <is>
          <t>ＴＳＭ</t>
        </is>
      </c>
      <c r="E4" s="17" t="inlineStr">
        <is>
          <t>AＮＥＴ</t>
        </is>
      </c>
      <c r="F4" s="7" t="n"/>
      <c r="G4" s="7" t="n"/>
      <c r="H4" s="18" t="n">
        <v>0.7887</v>
      </c>
      <c r="I4" s="19" t="n">
        <v>0.15</v>
      </c>
      <c r="J4" s="15" t="n">
        <v>46191</v>
      </c>
      <c r="K4" s="19" t="n">
        <v>1</v>
      </c>
      <c r="L4" s="7" t="n"/>
      <c r="M4" s="7" t="n"/>
      <c r="N4" s="7" t="n"/>
      <c r="O4" s="7" t="n"/>
      <c r="P4" s="7" t="n"/>
      <c r="Q4" s="7" t="n"/>
      <c r="R4" s="7" t="n"/>
      <c r="S4" s="7" t="n"/>
    </row>
    <row r="5" ht="20" customHeight="1">
      <c r="A5" s="11" t="n"/>
      <c r="B5" s="20" t="inlineStr">
        <is>
          <t>期初價格</t>
        </is>
      </c>
      <c r="C5" s="11" t="n">
        <v>445</v>
      </c>
      <c r="D5" s="11" t="n">
        <v>404.54</v>
      </c>
      <c r="E5" s="11" t="n">
        <v>136.43</v>
      </c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>
        <v>4660000</v>
      </c>
      <c r="Q5" s="11" t="n"/>
      <c r="R5" s="11" t="n"/>
      <c r="S5" s="11" t="n"/>
    </row>
    <row r="6" ht="20" customHeight="1">
      <c r="A6" s="4" t="inlineStr">
        <is>
          <t>唐*英</t>
        </is>
      </c>
      <c r="B6" s="7" t="n">
        <v>300000</v>
      </c>
      <c r="C6" s="7" t="n"/>
      <c r="D6" s="7" t="n"/>
      <c r="E6" s="7" t="n"/>
      <c r="F6" s="7" t="n"/>
      <c r="G6" s="7" t="n"/>
      <c r="H6" s="7" t="n"/>
      <c r="I6" s="7" t="n"/>
      <c r="J6" s="7" t="n"/>
      <c r="K6" s="7" t="n"/>
      <c r="L6" s="7" t="n"/>
      <c r="M6" s="7" t="n"/>
      <c r="N6" s="7" t="n">
        <v>283500</v>
      </c>
      <c r="O6" s="7" t="n"/>
      <c r="P6" s="7" t="n"/>
      <c r="Q6" s="7" t="n"/>
      <c r="R6" s="7" t="n"/>
      <c r="S6" s="7" t="n"/>
    </row>
    <row r="7" ht="20" customHeight="1">
      <c r="A7" s="8" t="inlineStr">
        <is>
          <t>吳*火</t>
        </is>
      </c>
      <c r="B7" s="11" t="n">
        <v>100000</v>
      </c>
      <c r="C7" s="11" t="n"/>
      <c r="D7" s="11" t="n"/>
      <c r="E7" s="11" t="n"/>
      <c r="F7" s="11" t="n"/>
      <c r="G7" s="11" t="n"/>
      <c r="H7" s="11" t="n"/>
      <c r="I7" s="11" t="n"/>
      <c r="J7" s="11" t="n"/>
      <c r="K7" s="11" t="n"/>
      <c r="L7" s="11" t="n"/>
      <c r="M7" s="11" t="n"/>
      <c r="N7" s="11" t="n"/>
      <c r="O7" s="11" t="n">
        <v>94500</v>
      </c>
      <c r="P7" s="11" t="n"/>
      <c r="Q7" s="11" t="n"/>
      <c r="R7" s="11" t="n"/>
      <c r="S7" s="11" t="n"/>
    </row>
    <row r="8" ht="20" customHeight="1">
      <c r="A8" s="15" t="n">
        <v>46157</v>
      </c>
      <c r="B8" s="16" t="inlineStr">
        <is>
          <t>EQDＳ0302698</t>
        </is>
      </c>
      <c r="C8" s="17" t="inlineStr">
        <is>
          <t>NVDA</t>
        </is>
      </c>
      <c r="D8" s="17" t="inlineStr">
        <is>
          <t>TSM</t>
        </is>
      </c>
      <c r="E8" s="17" t="inlineStr">
        <is>
          <t>AMD</t>
        </is>
      </c>
      <c r="F8" s="17" t="inlineStr">
        <is>
          <t>INTC</t>
        </is>
      </c>
      <c r="G8" s="7" t="n"/>
      <c r="H8" s="18" t="n">
        <v>0.75</v>
      </c>
      <c r="I8" s="18" t="n">
        <v>0.2545</v>
      </c>
      <c r="J8" s="15" t="n">
        <v>46195</v>
      </c>
      <c r="K8" s="19" t="n">
        <v>1</v>
      </c>
      <c r="L8" s="7" t="n"/>
      <c r="M8" s="7" t="n"/>
      <c r="N8" s="7" t="n">
        <v>88368</v>
      </c>
      <c r="O8" s="7" t="n"/>
      <c r="P8" s="7" t="n"/>
      <c r="Q8" s="7" t="n">
        <v>148747</v>
      </c>
      <c r="R8" s="7" t="n"/>
      <c r="S8" s="7" t="n"/>
    </row>
    <row r="9" ht="20" customHeight="1">
      <c r="A9" s="11" t="n"/>
      <c r="B9" s="20" t="inlineStr">
        <is>
          <t>期初價格</t>
        </is>
      </c>
      <c r="C9" s="11" t="n">
        <v>225.32</v>
      </c>
      <c r="D9" s="11" t="n">
        <v>404.35</v>
      </c>
      <c r="E9" s="11" t="n">
        <v>424.1</v>
      </c>
      <c r="F9" s="11" t="n">
        <v>108.77</v>
      </c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</row>
    <row r="10" ht="20" customHeight="1">
      <c r="A10" s="4" t="inlineStr">
        <is>
          <t>鄭*堃</t>
        </is>
      </c>
      <c r="B10" s="7" t="n">
        <v>80000</v>
      </c>
      <c r="C10" s="7" t="n"/>
      <c r="D10" s="7" t="n"/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</row>
    <row r="11" ht="20" customHeight="1">
      <c r="A11" s="14" t="n">
        <v>46161</v>
      </c>
      <c r="B11" s="21" t="inlineStr">
        <is>
          <t>EQDS0502715</t>
        </is>
      </c>
      <c r="C11" s="22" t="inlineStr">
        <is>
          <t>LITE</t>
        </is>
      </c>
      <c r="D11" s="22" t="inlineStr">
        <is>
          <t>COHR</t>
        </is>
      </c>
      <c r="E11" s="22" t="inlineStr">
        <is>
          <t>NVDA</t>
        </is>
      </c>
      <c r="F11" s="11" t="n"/>
      <c r="G11" s="11" t="n"/>
      <c r="H11" s="23" t="n">
        <v>0.65</v>
      </c>
      <c r="I11" s="24" t="n">
        <v>0.2733</v>
      </c>
      <c r="J11" s="14" t="n">
        <v>46199</v>
      </c>
      <c r="K11" s="23" t="n">
        <v>1</v>
      </c>
      <c r="L11" s="11" t="n"/>
      <c r="M11" s="11" t="n"/>
      <c r="N11" s="11" t="n">
        <v>1421775</v>
      </c>
      <c r="O11" s="11" t="n"/>
      <c r="P11" s="11" t="inlineStr">
        <is>
          <t> </t>
        </is>
      </c>
      <c r="Q11" s="11" t="n">
        <v>4106449</v>
      </c>
      <c r="R11" s="11" t="n">
        <v>1642579.6</v>
      </c>
      <c r="S11" s="11" t="n">
        <v>410644.9</v>
      </c>
    </row>
    <row r="12" ht="20" customHeight="1">
      <c r="A12" s="7" t="n"/>
      <c r="B12" s="25" t="inlineStr">
        <is>
          <t>期初價格</t>
        </is>
      </c>
      <c r="C12" s="7" t="n">
        <v>890.09</v>
      </c>
      <c r="D12" s="7" t="n">
        <v>353.63</v>
      </c>
      <c r="E12" s="7" t="n">
        <v>220.61</v>
      </c>
      <c r="F12" s="7" t="n"/>
      <c r="G12" s="7" t="n"/>
      <c r="H12" s="7" t="n"/>
      <c r="I12" s="7" t="n"/>
      <c r="J12" s="7" t="n"/>
      <c r="K12" s="7" t="n"/>
      <c r="L12" s="7" t="n"/>
      <c r="M12" s="7" t="n"/>
      <c r="N12" s="7" t="n"/>
      <c r="O12" s="7" t="n"/>
      <c r="P12" s="7" t="n"/>
      <c r="Q12" s="7" t="n"/>
      <c r="R12" s="7" t="n"/>
      <c r="S12" s="7" t="n"/>
    </row>
    <row r="13" ht="20" customHeight="1">
      <c r="A13" s="8" t="inlineStr">
        <is>
          <t>游董</t>
        </is>
      </c>
      <c r="B13" s="11" t="n">
        <v>600000</v>
      </c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</row>
    <row r="14" ht="20" customHeight="1">
      <c r="A14" s="4" t="inlineStr">
        <is>
          <t>游2</t>
        </is>
      </c>
      <c r="B14" s="7" t="n">
        <v>700000</v>
      </c>
      <c r="C14" s="7" t="n"/>
      <c r="D14" s="7" t="n"/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  <c r="R14" s="7" t="n"/>
      <c r="S14" s="7" t="n"/>
    </row>
    <row r="15" ht="20" customHeight="1">
      <c r="A15" s="8" t="inlineStr">
        <is>
          <t>游小妹</t>
        </is>
      </c>
      <c r="B15" s="11" t="n">
        <v>200000</v>
      </c>
      <c r="C15" s="11" t="n"/>
      <c r="D15" s="11" t="n"/>
      <c r="E15" s="11" t="n"/>
      <c r="F15" s="11" t="n"/>
      <c r="G15" s="11" t="n"/>
      <c r="H15" s="11" t="n"/>
      <c r="I15" s="11" t="n"/>
      <c r="J15" s="11" t="n"/>
      <c r="K15" s="11" t="n"/>
      <c r="L15" s="11" t="n"/>
      <c r="M15" s="11" t="n"/>
      <c r="N15" s="11" t="n"/>
      <c r="O15" s="11" t="n"/>
      <c r="P15" s="11" t="n"/>
      <c r="Q15" s="11" t="n"/>
      <c r="R15" s="11" t="n"/>
      <c r="S15" s="11" t="n"/>
    </row>
    <row r="16" ht="20" customHeight="1">
      <c r="A16" s="15" t="n">
        <v>46162</v>
      </c>
      <c r="B16" s="16" t="inlineStr">
        <is>
          <t>EQDS0202725</t>
        </is>
      </c>
      <c r="C16" s="17" t="inlineStr">
        <is>
          <t>AVGO</t>
        </is>
      </c>
      <c r="D16" s="17" t="inlineStr">
        <is>
          <t>MSFT</t>
        </is>
      </c>
      <c r="E16" s="17" t="inlineStr">
        <is>
          <t>ORCL</t>
        </is>
      </c>
      <c r="F16" s="7" t="n"/>
      <c r="G16" s="7" t="n"/>
      <c r="H16" s="18" t="n">
        <v>0.7914</v>
      </c>
      <c r="I16" s="19" t="n">
        <v>0.2</v>
      </c>
      <c r="J16" s="15" t="n">
        <v>46200</v>
      </c>
      <c r="K16" s="19" t="n">
        <v>1</v>
      </c>
      <c r="L16" s="7" t="n"/>
      <c r="M16" s="7" t="n"/>
      <c r="N16" s="7" t="n">
        <v>1252150</v>
      </c>
      <c r="O16" s="7" t="n"/>
      <c r="P16" s="7" t="n"/>
      <c r="Q16" s="7" t="n"/>
      <c r="R16" s="7" t="n"/>
      <c r="S16" s="7" t="n"/>
    </row>
    <row r="17" ht="20" customHeight="1">
      <c r="A17" s="11" t="n"/>
      <c r="B17" s="11" t="n"/>
      <c r="C17" s="11" t="n">
        <v>417.76</v>
      </c>
      <c r="D17" s="11" t="n">
        <v>421.06</v>
      </c>
      <c r="E17" s="11" t="n">
        <v>188.16</v>
      </c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</row>
    <row r="18" ht="20" customHeight="1">
      <c r="A18" s="4" t="inlineStr">
        <is>
          <t>陳＊為</t>
        </is>
      </c>
      <c r="B18" s="7" t="n">
        <v>260000</v>
      </c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</row>
    <row r="19" ht="20" customHeight="1">
      <c r="A19" s="14" t="n">
        <v>46162</v>
      </c>
      <c r="B19" s="21" t="inlineStr">
        <is>
          <t>ＥＱＤＳ0702726</t>
        </is>
      </c>
      <c r="C19" s="22" t="inlineStr">
        <is>
          <t>AVGO</t>
        </is>
      </c>
      <c r="D19" s="22" t="inlineStr">
        <is>
          <t>NVDA</t>
        </is>
      </c>
      <c r="E19" s="22" t="inlineStr">
        <is>
          <t>TSLA</t>
        </is>
      </c>
      <c r="F19" s="11" t="n"/>
      <c r="G19" s="11" t="n"/>
      <c r="H19" s="24" t="n">
        <v>0.787</v>
      </c>
      <c r="I19" s="23" t="n">
        <v>0.12</v>
      </c>
      <c r="J19" s="14" t="n">
        <v>46200</v>
      </c>
      <c r="K19" s="23" t="n">
        <v>1</v>
      </c>
      <c r="L19" s="11" t="n"/>
      <c r="M19" s="11" t="n"/>
      <c r="N19" s="11" t="n"/>
      <c r="O19" s="11" t="n"/>
      <c r="P19" s="11" t="n"/>
      <c r="Q19" s="11" t="n"/>
      <c r="R19" s="11" t="n"/>
      <c r="S19" s="11" t="n"/>
    </row>
    <row r="20" ht="20" customHeight="1">
      <c r="A20" s="7" t="n"/>
      <c r="B20" s="7" t="n"/>
      <c r="C20" s="7" t="n">
        <v>417.76</v>
      </c>
      <c r="D20" s="7" t="n">
        <v>223.47</v>
      </c>
      <c r="E20" s="7" t="n">
        <v>417.26</v>
      </c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</row>
    <row r="21" ht="20" customHeight="1">
      <c r="A21" s="8" t="inlineStr">
        <is>
          <t>莫姐</t>
        </is>
      </c>
      <c r="B21" s="11" t="n">
        <v>480000</v>
      </c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</row>
    <row r="22" ht="20" customHeight="1">
      <c r="A22" s="15" t="n">
        <v>46162</v>
      </c>
      <c r="B22" s="16" t="inlineStr">
        <is>
          <t>EQDS0202728</t>
        </is>
      </c>
      <c r="C22" s="17" t="inlineStr">
        <is>
          <t>AVGO</t>
        </is>
      </c>
      <c r="D22" s="17" t="inlineStr">
        <is>
          <t>MSFT</t>
        </is>
      </c>
      <c r="E22" s="17" t="inlineStr">
        <is>
          <t>ORCL</t>
        </is>
      </c>
      <c r="F22" s="7" t="n"/>
      <c r="G22" s="7" t="n"/>
      <c r="H22" s="7" t="n">
        <v>74.87</v>
      </c>
      <c r="I22" s="19" t="n">
        <v>0.18</v>
      </c>
      <c r="J22" s="15" t="n">
        <v>46200</v>
      </c>
      <c r="K22" s="19" t="n">
        <v>1</v>
      </c>
      <c r="L22" s="7" t="n"/>
      <c r="M22" s="7" t="n"/>
      <c r="N22" s="7" t="n"/>
      <c r="O22" s="7" t="n"/>
      <c r="P22" s="7" t="n"/>
      <c r="Q22" s="7" t="n"/>
      <c r="R22" s="7" t="n"/>
      <c r="S22" s="7" t="n"/>
    </row>
    <row r="23" ht="20" customHeight="1">
      <c r="A23" s="11" t="n"/>
      <c r="B23" s="11" t="n"/>
      <c r="C23" s="11" t="n">
        <v>417.76</v>
      </c>
      <c r="D23" s="11" t="n">
        <v>421.06</v>
      </c>
      <c r="E23" s="11" t="n">
        <v>188.16</v>
      </c>
      <c r="F23" s="11" t="n"/>
      <c r="G23" s="11" t="n"/>
      <c r="H23" s="11" t="n"/>
      <c r="I23" s="11" t="n"/>
      <c r="J23" s="11" t="n"/>
      <c r="K23" s="11" t="n"/>
      <c r="L23" s="11" t="n"/>
      <c r="M23" s="11" t="n"/>
      <c r="N23" s="11" t="n"/>
      <c r="O23" s="11" t="n"/>
      <c r="P23" s="11" t="n"/>
      <c r="Q23" s="11" t="n"/>
      <c r="R23" s="11" t="n"/>
      <c r="S23" s="11" t="n"/>
    </row>
    <row r="24" ht="20" customHeight="1">
      <c r="A24" s="4" t="inlineStr">
        <is>
          <t>游爸</t>
        </is>
      </c>
      <c r="B24" s="7" t="n">
        <v>500000</v>
      </c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</row>
    <row r="25" ht="20" customHeight="1">
      <c r="A25" s="14" t="n">
        <v>46163</v>
      </c>
      <c r="B25" s="21" t="inlineStr">
        <is>
          <t>EQDS0502735</t>
        </is>
      </c>
      <c r="C25" s="22" t="inlineStr">
        <is>
          <t>MU</t>
        </is>
      </c>
      <c r="D25" s="22" t="inlineStr">
        <is>
          <t>GOOG</t>
        </is>
      </c>
      <c r="E25" s="22" t="inlineStr">
        <is>
          <t>ORCL</t>
        </is>
      </c>
      <c r="F25" s="11" t="n"/>
      <c r="G25" s="11" t="n"/>
      <c r="H25" s="23" t="n">
        <v>0.75</v>
      </c>
      <c r="I25" s="24" t="n">
        <v>0.2102</v>
      </c>
      <c r="J25" s="14" t="n">
        <v>46201</v>
      </c>
      <c r="K25" s="23" t="n">
        <v>0.9</v>
      </c>
      <c r="L25" s="11" t="n"/>
      <c r="M25" s="11" t="n"/>
      <c r="N25" s="11" t="n">
        <v>1432524</v>
      </c>
      <c r="O25" s="11" t="n"/>
      <c r="P25" s="11" t="n"/>
      <c r="Q25" s="11" t="n"/>
      <c r="R25" s="11" t="n"/>
      <c r="S25" s="11" t="n"/>
    </row>
    <row r="26" ht="20" customHeight="1">
      <c r="A26" s="7" t="n"/>
      <c r="B26" s="7" t="n"/>
      <c r="C26" s="7" t="n">
        <v>762.1</v>
      </c>
      <c r="D26" s="7" t="n">
        <v>383.47</v>
      </c>
      <c r="E26" s="7" t="n">
        <v>189.77</v>
      </c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</row>
    <row r="27" ht="20" customHeight="1">
      <c r="A27" s="8" t="inlineStr">
        <is>
          <t>游2</t>
        </is>
      </c>
      <c r="B27" s="11" t="n">
        <v>600000</v>
      </c>
      <c r="C27" s="11" t="n"/>
      <c r="D27" s="11" t="n"/>
      <c r="E27" s="11" t="n"/>
      <c r="F27" s="11" t="n"/>
      <c r="G27" s="11" t="n"/>
      <c r="H27" s="11" t="n"/>
      <c r="I27" s="11" t="n"/>
      <c r="J27" s="11" t="n"/>
      <c r="K27" s="11" t="n"/>
      <c r="L27" s="11" t="n"/>
      <c r="M27" s="11" t="n"/>
      <c r="N27" s="11" t="n"/>
      <c r="O27" s="11" t="n"/>
      <c r="P27" s="11" t="n"/>
      <c r="Q27" s="11" t="n"/>
      <c r="R27" s="11" t="n"/>
      <c r="S27" s="11" t="n"/>
    </row>
    <row r="28" ht="20" customHeight="1">
      <c r="A28" s="15" t="n">
        <v>46163</v>
      </c>
      <c r="B28" s="16" t="inlineStr">
        <is>
          <t>EQDS2736</t>
        </is>
      </c>
      <c r="C28" s="17" t="inlineStr">
        <is>
          <t>MU</t>
        </is>
      </c>
      <c r="D28" s="17" t="inlineStr">
        <is>
          <t>GOOG</t>
        </is>
      </c>
      <c r="E28" s="17" t="inlineStr">
        <is>
          <t>ORCL</t>
        </is>
      </c>
      <c r="F28" s="7" t="n"/>
      <c r="G28" s="7" t="n"/>
      <c r="H28" s="19" t="n">
        <v>0.7</v>
      </c>
      <c r="I28" s="7" t="n">
        <v>17.7</v>
      </c>
      <c r="J28" s="15" t="n">
        <v>46201</v>
      </c>
      <c r="K28" s="19" t="n">
        <v>0.9</v>
      </c>
      <c r="L28" s="7" t="n"/>
      <c r="M28" s="7" t="n"/>
      <c r="N28" s="7" t="n"/>
      <c r="O28" s="7" t="n"/>
      <c r="P28" s="7" t="n"/>
      <c r="Q28" s="7" t="n"/>
      <c r="R28" s="7" t="n"/>
      <c r="S28" s="7" t="n"/>
    </row>
    <row r="29" ht="20" customHeight="1">
      <c r="A29" s="11" t="n"/>
      <c r="B29" s="11" t="n"/>
      <c r="C29" s="11" t="n">
        <v>762.1</v>
      </c>
      <c r="D29" s="11" t="n">
        <v>383.47</v>
      </c>
      <c r="E29" s="11" t="n">
        <v>189.77</v>
      </c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</row>
    <row r="30" ht="20" customHeight="1">
      <c r="A30" s="4" t="inlineStr">
        <is>
          <t>黃＊維</t>
        </is>
      </c>
      <c r="B30" s="7" t="n">
        <v>840000</v>
      </c>
      <c r="C30" s="7" t="n"/>
      <c r="D30" s="7" t="n"/>
      <c r="E30" s="7" t="n"/>
      <c r="F30" s="7" t="n"/>
      <c r="G30" s="7" t="n"/>
      <c r="H30" s="7" t="n"/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</row>
    <row r="31" ht="20" customHeight="1">
      <c r="A31" s="14" t="n">
        <v>46163</v>
      </c>
      <c r="B31" s="21" t="inlineStr">
        <is>
          <t>EQDS05027345</t>
        </is>
      </c>
      <c r="C31" s="22" t="inlineStr">
        <is>
          <t>CRCL</t>
        </is>
      </c>
      <c r="D31" s="11" t="n"/>
      <c r="E31" s="11" t="n"/>
      <c r="F31" s="11" t="n"/>
      <c r="G31" s="11" t="n"/>
      <c r="H31" s="23" t="n">
        <v>0.8</v>
      </c>
      <c r="I31" s="24" t="n">
        <v>0.4025</v>
      </c>
      <c r="J31" s="14" t="n">
        <v>46201</v>
      </c>
      <c r="K31" s="11" t="n"/>
      <c r="L31" s="11" t="n"/>
      <c r="M31" s="11" t="n"/>
      <c r="N31" s="11" t="n"/>
      <c r="O31" s="11" t="n"/>
      <c r="P31" s="11" t="n"/>
      <c r="Q31" s="11" t="n"/>
      <c r="R31" s="11" t="n"/>
      <c r="S31" s="11" t="n"/>
    </row>
    <row r="32" ht="20" customHeight="1">
      <c r="A32" s="4" t="inlineStr">
        <is>
          <t>秦</t>
        </is>
      </c>
      <c r="B32" s="7" t="n">
        <v>200000</v>
      </c>
      <c r="C32" s="7" t="n">
        <v>114.88</v>
      </c>
      <c r="D32" s="7" t="n"/>
      <c r="E32" s="7" t="n"/>
      <c r="F32" s="7" t="n"/>
      <c r="G32" s="7" t="n"/>
      <c r="H32" s="7" t="n"/>
      <c r="I32" s="7" t="n"/>
      <c r="J32" s="7" t="n"/>
      <c r="K32" s="7" t="n"/>
      <c r="L32" s="7" t="n"/>
      <c r="M32" s="7" t="n"/>
      <c r="N32" s="7" t="n"/>
      <c r="O32" s="7" t="n"/>
      <c r="P32" s="7" t="n"/>
      <c r="Q32" s="7" t="n"/>
      <c r="R32" s="7" t="n"/>
      <c r="S32" s="7" t="n"/>
    </row>
    <row r="33" ht="20" customHeight="1">
      <c r="A33" s="14" t="n">
        <v>46168</v>
      </c>
      <c r="B33" s="21" t="inlineStr">
        <is>
          <t>EQDS0202768</t>
        </is>
      </c>
      <c r="C33" s="22" t="inlineStr">
        <is>
          <t>NVDA</t>
        </is>
      </c>
      <c r="D33" s="22" t="inlineStr">
        <is>
          <t>AVGO</t>
        </is>
      </c>
      <c r="E33" s="22" t="inlineStr">
        <is>
          <t>TSM</t>
        </is>
      </c>
      <c r="F33" s="11" t="n"/>
      <c r="G33" s="11" t="n"/>
      <c r="H33" s="24" t="n">
        <v>0.8175</v>
      </c>
      <c r="I33" s="23" t="n">
        <v>0.15</v>
      </c>
      <c r="J33" s="14" t="n">
        <v>46205</v>
      </c>
      <c r="K33" s="23" t="n">
        <v>1</v>
      </c>
      <c r="L33" s="11" t="n"/>
      <c r="M33" s="11" t="n"/>
      <c r="N33" s="11" t="n"/>
      <c r="O33" s="11" t="n"/>
      <c r="P33" s="11" t="n"/>
      <c r="Q33" s="11" t="n"/>
      <c r="R33" s="11" t="n"/>
      <c r="S33" s="11" t="n"/>
    </row>
    <row r="34" ht="20" customHeight="1">
      <c r="A34" s="4" t="inlineStr">
        <is>
          <t>林＊詩</t>
        </is>
      </c>
      <c r="B34" s="7" t="n">
        <v>100000</v>
      </c>
      <c r="C34" s="7" t="n">
        <v>214.86</v>
      </c>
      <c r="D34" s="7" t="n">
        <v>422.01</v>
      </c>
      <c r="E34" s="7" t="n">
        <v>188.16</v>
      </c>
      <c r="F34" s="7" t="n"/>
      <c r="G34" s="7" t="n"/>
      <c r="H34" s="7" t="n"/>
      <c r="I34" s="7" t="n"/>
      <c r="J34" s="7" t="n"/>
      <c r="K34" s="7" t="n"/>
      <c r="L34" s="7" t="n"/>
      <c r="M34" s="7" t="n"/>
      <c r="N34" s="7" t="n"/>
      <c r="O34" s="7" t="n"/>
      <c r="P34" s="7" t="n"/>
      <c r="Q34" s="7" t="n"/>
      <c r="R34" s="7" t="n"/>
      <c r="S34" s="7" t="n"/>
    </row>
    <row r="35" ht="20" customHeight="1">
      <c r="A35" s="14" t="n">
        <v>46168</v>
      </c>
      <c r="B35" s="21" t="inlineStr">
        <is>
          <t>EQDS0202775</t>
        </is>
      </c>
      <c r="C35" s="22" t="inlineStr">
        <is>
          <t>QQQ</t>
        </is>
      </c>
      <c r="D35" s="22" t="inlineStr">
        <is>
          <t>SPY</t>
        </is>
      </c>
      <c r="E35" s="22" t="inlineStr">
        <is>
          <t>SMH</t>
        </is>
      </c>
      <c r="F35" s="22" t="inlineStr">
        <is>
          <t>SOXX</t>
        </is>
      </c>
      <c r="G35" s="22" t="inlineStr">
        <is>
          <t>IBB</t>
        </is>
      </c>
      <c r="H35" s="23" t="n">
        <v>0.78</v>
      </c>
      <c r="I35" s="23" t="n">
        <v>0.09</v>
      </c>
      <c r="J35" s="14" t="n">
        <v>46205</v>
      </c>
      <c r="K35" s="23" t="n">
        <v>1</v>
      </c>
      <c r="L35" s="11" t="n"/>
      <c r="M35" s="11" t="n"/>
      <c r="N35" s="11" t="n"/>
      <c r="O35" s="11" t="n"/>
      <c r="P35" s="11" t="n"/>
      <c r="Q35" s="11" t="n"/>
      <c r="R35" s="11" t="n"/>
      <c r="S35" s="11" t="n"/>
    </row>
    <row r="36" ht="20" customHeight="1">
      <c r="A36" s="4" t="inlineStr">
        <is>
          <t>蔣太太</t>
        </is>
      </c>
      <c r="B36" s="7" t="n">
        <v>370000</v>
      </c>
      <c r="C36" s="7" t="n">
        <v>732.28</v>
      </c>
      <c r="D36" s="7" t="n">
        <v>750.59</v>
      </c>
      <c r="E36" s="7" t="n">
        <v>602.14</v>
      </c>
      <c r="F36" s="7" t="n">
        <v>570.09</v>
      </c>
      <c r="G36" s="7" t="n">
        <v>169.42</v>
      </c>
      <c r="H36" s="7" t="n"/>
      <c r="I36" s="7" t="n"/>
      <c r="J36" s="7" t="n"/>
      <c r="K36" s="7" t="n"/>
      <c r="L36" s="7" t="n"/>
      <c r="M36" s="7" t="n"/>
      <c r="N36" s="7" t="n"/>
      <c r="O36" s="7" t="n"/>
      <c r="P36" s="7" t="n"/>
      <c r="Q36" s="7" t="n"/>
      <c r="R36" s="7" t="n"/>
      <c r="S36" s="7" t="n"/>
    </row>
    <row r="37" ht="20" customHeight="1">
      <c r="A37" s="14" t="n">
        <v>46168</v>
      </c>
      <c r="B37" s="21" t="inlineStr">
        <is>
          <t>EQDS0702773TSLA</t>
        </is>
      </c>
      <c r="C37" s="11" t="n"/>
      <c r="D37" s="22" t="inlineStr">
        <is>
          <t>ORCL</t>
        </is>
      </c>
      <c r="E37" s="22" t="inlineStr">
        <is>
          <t>MSFT</t>
        </is>
      </c>
      <c r="F37" s="22" t="inlineStr">
        <is>
          <t>MU</t>
        </is>
      </c>
      <c r="G37" s="11" t="n"/>
      <c r="H37" s="23" t="n">
        <v>0.65</v>
      </c>
      <c r="I37" s="24" t="n">
        <v>0.1901</v>
      </c>
      <c r="J37" s="14" t="n">
        <v>46205</v>
      </c>
      <c r="K37" s="23" t="n">
        <v>1</v>
      </c>
      <c r="L37" s="23" t="n">
        <v>0.5</v>
      </c>
      <c r="M37" s="11" t="n"/>
      <c r="N37" s="11" t="n"/>
      <c r="O37" s="11" t="n"/>
      <c r="P37" s="11" t="n"/>
      <c r="Q37" s="11" t="n"/>
      <c r="R37" s="11" t="n"/>
      <c r="S37" s="11" t="n"/>
    </row>
    <row r="38" ht="20" customHeight="1">
      <c r="A38" s="4" t="inlineStr">
        <is>
          <t>翁＊</t>
        </is>
      </c>
      <c r="B38" s="7" t="n">
        <v>250000</v>
      </c>
      <c r="C38" s="7" t="n">
        <v>433.59</v>
      </c>
      <c r="D38" s="7" t="n">
        <v>193.06</v>
      </c>
      <c r="E38" s="7" t="n">
        <v>406.03</v>
      </c>
      <c r="F38" s="7" t="n">
        <v>895.88</v>
      </c>
      <c r="G38" s="7" t="n"/>
      <c r="H38" s="7" t="n"/>
      <c r="I38" s="7" t="n"/>
      <c r="J38" s="7" t="n"/>
      <c r="K38" s="7" t="n"/>
      <c r="L38" s="7" t="n"/>
      <c r="M38" s="7" t="n"/>
      <c r="N38" s="7" t="n"/>
      <c r="O38" s="7" t="n"/>
      <c r="P38" s="7" t="n"/>
      <c r="Q38" s="7" t="n"/>
      <c r="R38" s="7" t="n"/>
      <c r="S38" s="7" t="n"/>
    </row>
    <row r="39" ht="20" customHeight="1">
      <c r="A39" s="11" t="n"/>
      <c r="B39" s="11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</row>
    <row r="40" ht="20" customHeight="1">
      <c r="A40" s="7" t="n"/>
      <c r="B40" s="7" t="n"/>
      <c r="C40" s="7" t="n"/>
      <c r="D40" s="7" t="n"/>
      <c r="E40" s="7" t="n"/>
      <c r="F40" s="7" t="n"/>
      <c r="G40" s="7" t="n"/>
      <c r="H40" s="7" t="n"/>
      <c r="I40" s="7" t="n"/>
      <c r="J40" s="7" t="n"/>
      <c r="K40" s="7" t="n"/>
      <c r="L40" s="7" t="n"/>
      <c r="M40" s="7" t="n"/>
      <c r="N40" s="7" t="n"/>
      <c r="O40" s="7" t="n"/>
      <c r="P40" s="7" t="n"/>
      <c r="Q40" s="7" t="n"/>
      <c r="R40" s="7" t="n"/>
      <c r="S40" s="7" t="n"/>
    </row>
    <row r="41" ht="20" customHeight="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  <c r="K41" s="11" t="n"/>
      <c r="L41" s="11" t="n"/>
      <c r="M41" s="11" t="n"/>
      <c r="N41" s="11" t="n"/>
      <c r="O41" s="11" t="n"/>
      <c r="P41" s="11" t="n"/>
      <c r="Q41" s="11" t="n"/>
      <c r="R41" s="11" t="n"/>
      <c r="S41" s="11" t="n"/>
    </row>
    <row r="42" ht="20" customHeight="1">
      <c r="A42" s="7" t="n"/>
      <c r="B42" s="7" t="n"/>
      <c r="C42" s="7" t="n"/>
      <c r="D42" s="7" t="n"/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  <c r="R42" s="7" t="n"/>
      <c r="S42" s="7" t="n"/>
    </row>
    <row r="43" ht="20" customHeight="1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</row>
    <row r="44" ht="20" customHeight="1">
      <c r="A44" s="7" t="n"/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</row>
    <row r="45" ht="20" customHeight="1">
      <c r="A45" s="11" t="n"/>
      <c r="B45" s="11" t="n"/>
      <c r="C45" s="11" t="n"/>
      <c r="D45" s="11" t="n"/>
      <c r="E45" s="11" t="n"/>
      <c r="F45" s="11" t="n"/>
      <c r="G45" s="11" t="n"/>
      <c r="H45" s="11" t="n"/>
      <c r="I45" s="11" t="n"/>
      <c r="J45" s="11" t="n"/>
      <c r="K45" s="11" t="n"/>
      <c r="L45" s="11" t="n"/>
      <c r="M45" s="11" t="n"/>
      <c r="N45" s="11" t="n"/>
      <c r="O45" s="11" t="n"/>
      <c r="P45" s="11" t="n"/>
      <c r="Q45" s="11" t="n"/>
      <c r="R45" s="11" t="n"/>
      <c r="S45" s="11" t="n"/>
    </row>
    <row r="46" ht="20" customHeight="1">
      <c r="A46" s="7" t="n"/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</row>
    <row r="47" ht="20" customHeight="1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</row>
    <row r="48" ht="20" customHeight="1">
      <c r="A48" s="7" t="n"/>
      <c r="B48" s="7" t="n"/>
      <c r="C48" s="7" t="n"/>
      <c r="D48" s="7" t="n"/>
      <c r="E48" s="7" t="n"/>
      <c r="F48" s="7" t="n"/>
      <c r="G48" s="7" t="n"/>
      <c r="H48" s="7" t="n"/>
      <c r="I48" s="7" t="n"/>
      <c r="J48" s="7" t="n"/>
      <c r="K48" s="7" t="n"/>
      <c r="L48" s="7" t="n"/>
      <c r="M48" s="7" t="n"/>
      <c r="N48" s="7" t="n"/>
      <c r="O48" s="7" t="n"/>
      <c r="P48" s="7" t="n"/>
      <c r="Q48" s="7" t="n"/>
      <c r="R48" s="7" t="n"/>
      <c r="S48" s="7" t="n"/>
    </row>
    <row r="49" ht="20" customHeight="1">
      <c r="A49" s="11" t="n"/>
      <c r="B49" s="11" t="n"/>
      <c r="C49" s="11" t="n"/>
      <c r="D49" s="11" t="n"/>
      <c r="E49" s="11" t="n"/>
      <c r="F49" s="11" t="n"/>
      <c r="G49" s="11" t="n"/>
      <c r="H49" s="11" t="n"/>
      <c r="I49" s="11" t="n"/>
      <c r="J49" s="11" t="n"/>
      <c r="K49" s="11" t="n"/>
      <c r="L49" s="11" t="n"/>
      <c r="M49" s="11" t="n"/>
      <c r="N49" s="11" t="n"/>
      <c r="O49" s="11" t="n"/>
      <c r="P49" s="11" t="n"/>
      <c r="Q49" s="11" t="n"/>
      <c r="R49" s="11" t="n"/>
      <c r="S49" s="11" t="n"/>
    </row>
    <row r="50" ht="20" customHeight="1">
      <c r="A50" s="7" t="n"/>
      <c r="B50" s="7" t="n"/>
      <c r="C50" s="7" t="n"/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</row>
    <row r="51" ht="20" customHeight="1">
      <c r="A51" s="11" t="n"/>
      <c r="B51" s="11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</row>
    <row r="52" ht="20" customHeight="1">
      <c r="A52" s="7" t="n"/>
      <c r="B52" s="7" t="n"/>
      <c r="C52" s="7" t="n"/>
      <c r="D52" s="7" t="n"/>
      <c r="E52" s="7" t="n"/>
      <c r="F52" s="7" t="n"/>
      <c r="G52" s="7" t="n"/>
      <c r="H52" s="7" t="n"/>
      <c r="I52" s="7" t="n"/>
      <c r="J52" s="7" t="n"/>
      <c r="K52" s="7" t="n"/>
      <c r="L52" s="7" t="n"/>
      <c r="M52" s="7" t="n"/>
      <c r="N52" s="7" t="n"/>
      <c r="O52" s="7" t="n"/>
      <c r="P52" s="7" t="n"/>
      <c r="Q52" s="7" t="n"/>
      <c r="R52" s="7" t="n"/>
      <c r="S52" s="7" t="n"/>
    </row>
    <row r="53" ht="20" customHeight="1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  <c r="K53" s="11" t="n"/>
      <c r="L53" s="11" t="n"/>
      <c r="M53" s="11" t="n"/>
      <c r="N53" s="11" t="n"/>
      <c r="O53" s="11" t="n"/>
      <c r="P53" s="11" t="n"/>
      <c r="Q53" s="11" t="n"/>
      <c r="R53" s="11" t="n"/>
      <c r="S53" s="11" t="n"/>
    </row>
    <row r="54" ht="20" customHeight="1">
      <c r="A54" s="7" t="n"/>
      <c r="B54" s="7" t="n"/>
      <c r="C54" s="7" t="n"/>
      <c r="D54" s="7" t="n"/>
      <c r="E54" s="7" t="n"/>
      <c r="F54" s="7" t="n"/>
      <c r="G54" s="7" t="n"/>
      <c r="H54" s="7" t="n"/>
      <c r="I54" s="7" t="n"/>
      <c r="J54" s="7" t="n"/>
      <c r="K54" s="7" t="n"/>
      <c r="L54" s="7" t="n"/>
      <c r="M54" s="7" t="n"/>
      <c r="N54" s="7" t="n"/>
      <c r="O54" s="7" t="n"/>
      <c r="P54" s="7" t="n"/>
      <c r="Q54" s="7" t="n"/>
      <c r="R54" s="7" t="n"/>
      <c r="S54" s="7" t="n"/>
    </row>
    <row r="55" ht="20" customHeight="1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</row>
    <row r="56" ht="20" customHeight="1">
      <c r="A56" s="7" t="n"/>
      <c r="B56" s="7" t="n"/>
      <c r="C56" s="7" t="n"/>
      <c r="D56" s="7" t="n"/>
      <c r="E56" s="7" t="n"/>
      <c r="F56" s="7" t="n"/>
      <c r="G56" s="7" t="n"/>
      <c r="H56" s="7" t="n"/>
      <c r="I56" s="7" t="n"/>
      <c r="J56" s="7" t="n"/>
      <c r="K56" s="7" t="n"/>
      <c r="L56" s="7" t="n"/>
      <c r="M56" s="7" t="n"/>
      <c r="N56" s="7" t="n"/>
      <c r="O56" s="7" t="n"/>
      <c r="P56" s="7" t="n"/>
      <c r="Q56" s="7" t="n"/>
      <c r="R56" s="7" t="n"/>
      <c r="S56" s="7" t="n"/>
    </row>
    <row r="57" ht="20" customHeight="1">
      <c r="A57" s="11" t="n"/>
      <c r="B57" s="11" t="n"/>
      <c r="C57" s="11" t="n"/>
      <c r="D57" s="11" t="n"/>
      <c r="E57" s="11" t="n"/>
      <c r="F57" s="11" t="n"/>
      <c r="G57" s="11" t="n"/>
      <c r="H57" s="11" t="n"/>
      <c r="I57" s="11" t="n"/>
      <c r="J57" s="11" t="n"/>
      <c r="K57" s="11" t="n"/>
      <c r="L57" s="11" t="n"/>
      <c r="M57" s="11" t="n"/>
      <c r="N57" s="11" t="n"/>
      <c r="O57" s="11" t="n"/>
      <c r="P57" s="11" t="n"/>
      <c r="Q57" s="11" t="n"/>
      <c r="R57" s="11" t="n"/>
      <c r="S57" s="11" t="n"/>
    </row>
  </sheetData>
  <mergeCells count="2"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2026-06-07T23:08:19Z</dcterms:created>
  <dcterms:modified xsi:type="dcterms:W3CDTF">2026-06-07T23:08:19Z</dcterms:modified>
</cp:coreProperties>
</file>